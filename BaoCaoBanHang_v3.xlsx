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CaoBanHang" sheetId="1" state="visible" r:id="rId1"/>
    <sheet xmlns:r="http://schemas.openxmlformats.org/officeDocument/2006/relationships" name="Bang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  <font>
      <name val="Arial"/>
      <b val="1"/>
      <color rgb="00000000"/>
      <sz val="11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3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4" customWidth="1" min="5" max="5"/>
    <col width="10" customWidth="1" min="6" max="6"/>
    <col width="16" customWidth="1" min="7" max="7"/>
    <col width="18" customWidth="1" min="8" max="8"/>
    <col width="22" customWidth="1" min="9" max="9"/>
  </cols>
  <sheetData>
    <row r="1" ht="30" customHeight="1">
      <c r="A1" s="1" t="inlineStr">
        <is>
          <t>BÁO CÁO BÁN HÀNG ĐIỆN THOẠI</t>
        </is>
      </c>
    </row>
    <row r="3" ht="24" customHeight="1">
      <c r="A3" s="2" t="inlineStr">
        <is>
          <t>BẢNG BÁO CÁO BÁN HÀNG</t>
        </is>
      </c>
    </row>
    <row r="4" ht="30" customHeight="1">
      <c r="A4" s="3" t="inlineStr">
        <is>
          <t>Ngày Bán</t>
        </is>
      </c>
      <c r="B4" s="3" t="inlineStr">
        <is>
          <t>Mã Hàng</t>
        </is>
      </c>
      <c r="C4" s="3" t="inlineStr">
        <is>
          <t>Nhãn Hiệu</t>
        </is>
      </c>
      <c r="D4" s="3" t="inlineStr">
        <is>
          <t>Model</t>
        </is>
      </c>
      <c r="E4" s="3" t="inlineStr">
        <is>
          <t>Loại Hàng</t>
        </is>
      </c>
      <c r="F4" s="3" t="inlineStr">
        <is>
          <t>Số Lượng</t>
        </is>
      </c>
      <c r="G4" s="3" t="inlineStr">
        <is>
          <t>Đơn Giá (USD)</t>
        </is>
      </c>
      <c r="H4" s="3" t="inlineStr">
        <is>
          <t>Đơn Giá (VNĐ)</t>
        </is>
      </c>
      <c r="I4" s="3" t="inlineStr">
        <is>
          <t>Thành Tiền (VNĐ)</t>
        </is>
      </c>
    </row>
    <row r="5">
      <c r="A5" s="4" t="inlineStr">
        <is>
          <t>01/01/2009</t>
        </is>
      </c>
      <c r="B5" s="4" t="inlineStr">
        <is>
          <t>SH256X</t>
        </is>
      </c>
      <c r="C5" s="5">
        <f>IF(LEFT(B5,1)="S","Samsung",IF(LEFT(B5,1)="N","Nokia","Khác"))</f>
        <v/>
      </c>
      <c r="D5" s="5">
        <f>MID(B5,2,4)</f>
        <v/>
      </c>
      <c r="E5" s="5">
        <f>IF(RIGHT(B5,1)="C","Chính hãng",IF(RIGHT(B5,1)="X","Xách tay","Khác"))</f>
        <v/>
      </c>
      <c r="F5" s="6" t="n">
        <v>20</v>
      </c>
      <c r="G5" s="6">
        <f>IF(RIGHT(B5,1)="C",IFERROR(VLOOKUP(D5,BangGia!$A$4:$C$7,2,0),0),IFERROR(VLOOKUP(D5,BangGia!$A$4:$C$7,3,0),0))</f>
        <v/>
      </c>
      <c r="H5" s="6">
        <f>IF(A5="01/01/2009",G5*17500*0.7,G5*17500)</f>
        <v/>
      </c>
      <c r="I5" s="6">
        <f>F5*H5</f>
        <v/>
      </c>
    </row>
    <row r="6">
      <c r="A6" s="7" t="inlineStr">
        <is>
          <t>11/01/2009</t>
        </is>
      </c>
      <c r="B6" s="7" t="inlineStr">
        <is>
          <t>SA500X</t>
        </is>
      </c>
      <c r="C6" s="8">
        <f>IF(LEFT(B6,1)="S","Samsung",IF(LEFT(B6,1)="N","Nokia","Khác"))</f>
        <v/>
      </c>
      <c r="D6" s="8">
        <f>MID(B6,2,4)</f>
        <v/>
      </c>
      <c r="E6" s="8">
        <f>IF(RIGHT(B6,1)="C","Chính hãng",IF(RIGHT(B6,1)="X","Xách tay","Khác"))</f>
        <v/>
      </c>
      <c r="F6" s="9" t="n">
        <v>10</v>
      </c>
      <c r="G6" s="9">
        <f>IF(RIGHT(B6,1)="C",IFERROR(VLOOKUP(D6,BangGia!$A$4:$C$7,2,0),0),IFERROR(VLOOKUP(D6,BangGia!$A$4:$C$7,3,0),0))</f>
        <v/>
      </c>
      <c r="H6" s="9">
        <f>IF(A6="01/01/2009",G6*17500*0.7,G6*17500)</f>
        <v/>
      </c>
      <c r="I6" s="9">
        <f>F6*H6</f>
        <v/>
      </c>
    </row>
    <row r="7">
      <c r="A7" s="4" t="inlineStr">
        <is>
          <t>08/01/2009</t>
        </is>
      </c>
      <c r="B7" s="4" t="inlineStr">
        <is>
          <t>ND310C</t>
        </is>
      </c>
      <c r="C7" s="5">
        <f>IF(LEFT(B7,1)="S","Samsung",IF(LEFT(B7,1)="N","Nokia","Khác"))</f>
        <v/>
      </c>
      <c r="D7" s="5">
        <f>MID(B7,2,4)</f>
        <v/>
      </c>
      <c r="E7" s="5">
        <f>IF(RIGHT(B7,1)="C","Chính hãng",IF(RIGHT(B7,1)="X","Xách tay","Khác"))</f>
        <v/>
      </c>
      <c r="F7" s="6" t="n">
        <v>20</v>
      </c>
      <c r="G7" s="6">
        <f>IF(RIGHT(B7,1)="C",IFERROR(VLOOKUP(D7,BangGia!$A$4:$C$7,2,0),0),IFERROR(VLOOKUP(D7,BangGia!$A$4:$C$7,3,0),0))</f>
        <v/>
      </c>
      <c r="H7" s="6">
        <f>IF(A7="01/01/2009",G7*17500*0.7,G7*17500)</f>
        <v/>
      </c>
      <c r="I7" s="6">
        <f>F7*H7</f>
        <v/>
      </c>
    </row>
    <row r="8">
      <c r="A8" s="7" t="inlineStr">
        <is>
          <t>06/01/2009</t>
        </is>
      </c>
      <c r="B8" s="7" t="inlineStr">
        <is>
          <t>SA500N</t>
        </is>
      </c>
      <c r="C8" s="8">
        <f>IF(LEFT(B8,1)="S","Samsung",IF(LEFT(B8,1)="N","Nokia","Khác"))</f>
        <v/>
      </c>
      <c r="D8" s="8">
        <f>MID(B8,2,4)</f>
        <v/>
      </c>
      <c r="E8" s="8">
        <f>IF(RIGHT(B8,1)="C","Chính hãng",IF(RIGHT(B8,1)="X","Xách tay","Khác"))</f>
        <v/>
      </c>
      <c r="F8" s="9" t="n">
        <v>30</v>
      </c>
      <c r="G8" s="9">
        <f>IF(RIGHT(B8,1)="C",IFERROR(VLOOKUP(D8,BangGia!$A$4:$C$7,2,0),0),IFERROR(VLOOKUP(D8,BangGia!$A$4:$C$7,3,0),0))</f>
        <v/>
      </c>
      <c r="H8" s="9">
        <f>IF(A8="01/01/2009",G8*17500*0.7,G8*17500)</f>
        <v/>
      </c>
      <c r="I8" s="9">
        <f>F8*H8</f>
        <v/>
      </c>
    </row>
    <row r="9">
      <c r="A9" s="10" t="inlineStr">
        <is>
          <t>TỔNG CỘNG</t>
        </is>
      </c>
      <c r="F9" s="11">
        <f>SUM(F5:F8)</f>
        <v/>
      </c>
      <c r="G9" s="12" t="inlineStr"/>
      <c r="H9" s="12" t="inlineStr"/>
      <c r="I9" s="11">
        <f>SUM(I5:I8)</f>
        <v/>
      </c>
    </row>
    <row r="10">
      <c r="A10" s="13" t="inlineStr">
        <is>
          <t>(*) Ghi chú: Đơn hàng ngày 01/01/2009 được giảm 30% đơn giá</t>
        </is>
      </c>
    </row>
    <row r="12" ht="24" customHeight="1">
      <c r="A12" s="2" t="inlineStr">
        <is>
          <t>BẢNG THỐNG KÊ</t>
        </is>
      </c>
    </row>
    <row r="13">
      <c r="A13" s="3" t="inlineStr">
        <is>
          <t>Nhãn Hiệu</t>
        </is>
      </c>
      <c r="B13" s="3" t="inlineStr">
        <is>
          <t>Số Lượng</t>
        </is>
      </c>
      <c r="C13" s="3" t="inlineStr">
        <is>
          <t>Thành Tiền (VNĐ)</t>
        </is>
      </c>
    </row>
    <row r="14">
      <c r="A14" s="14" t="inlineStr">
        <is>
          <t>Nokia</t>
        </is>
      </c>
      <c r="B14" s="15">
        <f>SUMIF(C5:C8,A14,F5:F8)</f>
        <v/>
      </c>
      <c r="C14" s="15">
        <f>SUMIF(C5:C8,A14,I5:I8)</f>
        <v/>
      </c>
    </row>
    <row r="15">
      <c r="A15" s="14" t="inlineStr">
        <is>
          <t>Samsung</t>
        </is>
      </c>
      <c r="B15" s="15">
        <f>SUMIF(C5:C8,A15,F5:F8)</f>
        <v/>
      </c>
      <c r="C15" s="15">
        <f>SUMIF(C5:C8,A15,I5:I8)</f>
        <v/>
      </c>
    </row>
    <row r="16">
      <c r="A16" s="3" t="inlineStr">
        <is>
          <t>TỔNG</t>
        </is>
      </c>
      <c r="B16" s="11">
        <f>SUM(B14:B15)</f>
        <v/>
      </c>
      <c r="C16" s="11">
        <f>SUM(C14:C15)</f>
        <v/>
      </c>
    </row>
  </sheetData>
  <mergeCells count="5">
    <mergeCell ref="A10:I10"/>
    <mergeCell ref="A1:I1"/>
    <mergeCell ref="A3:I3"/>
    <mergeCell ref="A12:C12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</cols>
  <sheetData>
    <row r="1">
      <c r="A1" s="2" t="inlineStr">
        <is>
          <t>BẢNG ĐƠN GIÁ (USD)</t>
        </is>
      </c>
    </row>
    <row r="2">
      <c r="A2" s="13" t="inlineStr">
        <is>
          <t>Tỷ giá: 1 USD = 17.500 VNĐ  |  Ngày 01/01/2009 giảm thêm 30%</t>
        </is>
      </c>
    </row>
    <row r="3" ht="28" customHeight="1">
      <c r="A3" s="3" t="inlineStr">
        <is>
          <t>Model</t>
        </is>
      </c>
      <c r="B3" s="3" t="inlineStr">
        <is>
          <t>Chính Hãng (USD)</t>
        </is>
      </c>
      <c r="C3" s="3" t="inlineStr">
        <is>
          <t>Xách Tay (USD)</t>
        </is>
      </c>
    </row>
    <row r="4">
      <c r="A4" s="7" t="inlineStr">
        <is>
          <t>A500</t>
        </is>
      </c>
      <c r="B4" s="16" t="n">
        <v>300</v>
      </c>
      <c r="C4" s="16" t="n">
        <v>250</v>
      </c>
    </row>
    <row r="5">
      <c r="A5" s="17" t="inlineStr">
        <is>
          <t>B250</t>
        </is>
      </c>
      <c r="B5" s="18" t="n">
        <v>200</v>
      </c>
      <c r="C5" s="18" t="n">
        <v>180</v>
      </c>
    </row>
    <row r="6">
      <c r="A6" s="7" t="inlineStr">
        <is>
          <t>D310</t>
        </is>
      </c>
      <c r="B6" s="16" t="n">
        <v>230</v>
      </c>
      <c r="C6" s="16" t="n">
        <v>200</v>
      </c>
    </row>
    <row r="7">
      <c r="A7" s="17" t="inlineStr">
        <is>
          <t>T100</t>
        </is>
      </c>
      <c r="B7" s="18" t="n">
        <v>380</v>
      </c>
      <c r="C7" s="18" t="n">
        <v>350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2026-04-06T02:24:50Z</dcterms:created>
  <dcterms:modified xmlns:dcterms="http://purl.org/dc/terms/" xmlns:xsi="http://www.w3.org/2001/XMLSchema-instance" xsi:type="dcterms:W3CDTF">2026-04-06T02:24:50Z</dcterms:modified>
</cp:coreProperties>
</file>